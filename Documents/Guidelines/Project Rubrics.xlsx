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2"/>
  <workbookPr/>
  <mc:AlternateContent xmlns:mc="http://schemas.openxmlformats.org/markup-compatibility/2006">
    <mc:Choice Requires="x15">
      <x15ac:absPath xmlns:x15ac="http://schemas.microsoft.com/office/spreadsheetml/2010/11/ac" url="/Users/akhtarjamil/Documents/FAST/1. Spring 2026/Generative AI/Assignments/Assignment#4-Final Project/"/>
    </mc:Choice>
  </mc:AlternateContent>
  <xr:revisionPtr revIDLastSave="0" documentId="13_ncr:1_{95EBF32F-8DFC-734D-A86A-0AF83E4DE339}" xr6:coauthVersionLast="47" xr6:coauthVersionMax="47" xr10:uidLastSave="{00000000-0000-0000-0000-000000000000}"/>
  <bookViews>
    <workbookView xWindow="0" yWindow="760" windowWidth="26720" windowHeight="17340" xr2:uid="{00000000-000D-0000-FFFF-FFFF00000000}"/>
  </bookViews>
  <sheets>
    <sheet name="Gen A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1" l="1"/>
  <c r="E26" i="1"/>
  <c r="E12" i="1"/>
  <c r="D12" i="1"/>
  <c r="C12" i="1"/>
  <c r="A3" i="1" s="1"/>
  <c r="C25" i="1"/>
  <c r="A13" i="1" s="1"/>
  <c r="D25" i="1"/>
  <c r="E25" i="1"/>
  <c r="C26" i="1" l="1"/>
  <c r="D27" i="1"/>
  <c r="E27" i="1"/>
</calcChain>
</file>

<file path=xl/sharedStrings.xml><?xml version="1.0" encoding="utf-8"?>
<sst xmlns="http://schemas.openxmlformats.org/spreadsheetml/2006/main" count="30" uniqueCount="30">
  <si>
    <t>Name:                                                                                                            Roll No</t>
  </si>
  <si>
    <t>Marks</t>
  </si>
  <si>
    <t>Self Evaluation</t>
  </si>
  <si>
    <t>TA</t>
  </si>
  <si>
    <t>S.No</t>
  </si>
  <si>
    <t>Total Implementation Marks</t>
  </si>
  <si>
    <t>Total Marks of Paper</t>
  </si>
  <si>
    <t>Comments by TA</t>
  </si>
  <si>
    <r>
      <rPr>
        <b/>
        <sz val="11"/>
        <color theme="1"/>
        <rFont val="Calibri"/>
        <family val="2"/>
        <scheme val="minor"/>
      </rPr>
      <t xml:space="preserve">Model Deployment and Containerization: </t>
    </r>
    <r>
      <rPr>
        <sz val="11"/>
        <color theme="1"/>
        <rFont val="Calibri"/>
        <family val="2"/>
        <scheme val="minor"/>
      </rPr>
      <t xml:space="preserve">
   - Should be able to deploy the models using Docker container</t>
    </r>
  </si>
  <si>
    <r>
      <rPr>
        <b/>
        <sz val="11"/>
        <color theme="1"/>
        <rFont val="Calibri"/>
        <family val="2"/>
        <scheme val="minor"/>
      </rPr>
      <t xml:space="preserve">Introduction: 
</t>
    </r>
    <r>
      <rPr>
        <sz val="11"/>
        <color theme="1"/>
        <rFont val="Calibri"/>
        <family val="2"/>
        <scheme val="minor"/>
      </rPr>
      <t>Contains introduction to the main domain they are working, introduce the contribution of this work and last paragrph about organization of this paper</t>
    </r>
  </si>
  <si>
    <r>
      <t xml:space="preserve"> </t>
    </r>
    <r>
      <rPr>
        <b/>
        <sz val="11"/>
        <color theme="1"/>
        <rFont val="Calibri"/>
        <family val="2"/>
        <scheme val="minor"/>
      </rPr>
      <t>Discussion, Limitations and Future Works</t>
    </r>
  </si>
  <si>
    <r>
      <rPr>
        <b/>
        <sz val="11"/>
        <color theme="1"/>
        <rFont val="Calibri"/>
        <family val="2"/>
        <scheme val="minor"/>
      </rPr>
      <t>Plagairism: (only instructor will check via Turnitin)</t>
    </r>
    <r>
      <rPr>
        <sz val="11"/>
        <color theme="1"/>
        <rFont val="Calibri"/>
        <family val="2"/>
        <scheme val="minor"/>
      </rPr>
      <t xml:space="preserve">
    - Above 20% and for AI above 30% plagiarism excluding reference: ZERO MARKS in RESEARCH PAPER
    - Below &lt;=20% plagiarism full marks</t>
    </r>
  </si>
  <si>
    <r>
      <t xml:space="preserve">Related Work 
    </t>
    </r>
    <r>
      <rPr>
        <sz val="11"/>
        <color theme="1"/>
        <rFont val="Calibri"/>
        <family val="2"/>
        <scheme val="minor"/>
      </rPr>
      <t>- Detailed review of at least 12-15 relevant research papers from recent past. There is a well write information about each paper cited.</t>
    </r>
  </si>
  <si>
    <r>
      <rPr>
        <b/>
        <sz val="11"/>
        <color theme="1"/>
        <rFont val="Calibri"/>
        <family val="2"/>
        <scheme val="minor"/>
      </rPr>
      <t>DataSet</t>
    </r>
    <r>
      <rPr>
        <sz val="11"/>
        <color theme="1"/>
        <rFont val="Calibri"/>
        <family val="2"/>
        <scheme val="minor"/>
      </rPr>
      <t xml:space="preserve">
    -  Properly loading of data, any preprocessing and visualizations neeed.</t>
    </r>
  </si>
  <si>
    <r>
      <rPr>
        <b/>
        <sz val="11"/>
        <color theme="1"/>
        <rFont val="Calibri"/>
        <family val="2"/>
        <scheme val="minor"/>
      </rPr>
      <t xml:space="preserve">Prompt Engineering and Usage </t>
    </r>
    <r>
      <rPr>
        <sz val="11"/>
        <color theme="1"/>
        <rFont val="Calibri"/>
        <family val="2"/>
        <scheme val="minor"/>
      </rPr>
      <t xml:space="preserve">
- Submission of prompt file(s) used for model/code generation
- Relevance and structure of prompts used
- Demonstration of effective prompt engineering techniques</t>
    </r>
  </si>
  <si>
    <r>
      <rPr>
        <b/>
        <sz val="11"/>
        <color theme="1"/>
        <rFont val="Calibri"/>
        <family val="2"/>
        <scheme val="minor"/>
      </rPr>
      <t>Code Quality and Documentation</t>
    </r>
    <r>
      <rPr>
        <sz val="11"/>
        <color theme="1"/>
        <rFont val="Calibri"/>
        <family val="2"/>
        <scheme val="minor"/>
      </rPr>
      <t xml:space="preserve">
- Code structure: use of classes, functions, and modularity
- Clarity and consistency of comments
- Code must be understandable and reproducible</t>
    </r>
  </si>
  <si>
    <r>
      <t xml:space="preserve">Bonus Marks: </t>
    </r>
    <r>
      <rPr>
        <sz val="11"/>
        <color theme="1"/>
        <rFont val="Calibri"/>
        <family val="2"/>
        <scheme val="minor"/>
      </rPr>
      <t>Student has implemented novel method, compared with a based model or has used a dataset that is unique and not been available in public and then implemented some unique models of tweaked existing models.</t>
    </r>
  </si>
  <si>
    <r>
      <t>Paper Structure and Content</t>
    </r>
    <r>
      <rPr>
        <sz val="11"/>
        <color theme="1"/>
        <rFont val="Calibri"/>
        <family val="2"/>
        <scheme val="minor"/>
      </rPr>
      <t xml:space="preserve">
- Adherence to Springer LNCS format
- Writing clarity, logical flow, and proper citation of references</t>
    </r>
  </si>
  <si>
    <r>
      <t xml:space="preserve">Methodology and Technical Depth
</t>
    </r>
    <r>
      <rPr>
        <sz val="11"/>
        <color theme="1"/>
        <rFont val="Calibri"/>
        <family val="2"/>
        <scheme val="minor"/>
      </rPr>
      <t>You need to describe the models under consideration  your paper, include mathematical formulations and algorithmic details. Why the models selected</t>
    </r>
  </si>
  <si>
    <r>
      <t xml:space="preserve">Experimental Setup and Results
</t>
    </r>
    <r>
      <rPr>
        <sz val="11"/>
        <color theme="1"/>
        <rFont val="Calibri"/>
        <family val="2"/>
        <scheme val="minor"/>
      </rPr>
      <t>A detailed describtion of the evaluation metrix, experimental setup, quantiative comparision with tables, and visual comparision or results obtained
- Comparative analysis with other state of the art models and compare the performances, discuss this in the results, why there is any difference in the results etc</t>
    </r>
  </si>
  <si>
    <t>Additional Marks based on observation of Evaluator</t>
  </si>
  <si>
    <t xml:space="preserve"> Preapred the Project Submission according to the given Format (ZIP file naming, inclusion of all required files): RollNo_YourName_GenAI_Project.ZIP</t>
  </si>
  <si>
    <r>
      <t xml:space="preserve">Conclusion: </t>
    </r>
    <r>
      <rPr>
        <sz val="11"/>
        <color theme="1"/>
        <rFont val="Calibri"/>
        <family val="2"/>
        <scheme val="minor"/>
      </rPr>
      <t>Summarization of findings and their significance. This is different than abstract. 
- Also highlight the limitations of your work and how you will overcome this in the future</t>
    </r>
  </si>
  <si>
    <r>
      <t xml:space="preserve"> </t>
    </r>
    <r>
      <rPr>
        <b/>
        <sz val="11"/>
        <color theme="1"/>
        <rFont val="Calibri"/>
        <family val="2"/>
        <scheme val="minor"/>
      </rPr>
      <t xml:space="preserve">Bonus: </t>
    </r>
    <r>
      <rPr>
        <sz val="11"/>
        <color theme="1"/>
        <rFont val="Calibri"/>
        <family val="2"/>
        <scheme val="minor"/>
      </rPr>
      <t>Students performed an ablation study and included in the paper with all additional details to evaluate the effect of the change of hyperparameters on the modelsand compare in terms of the accuracies, computational efficiency etc</t>
    </r>
  </si>
  <si>
    <t>Total Project Raw Marks</t>
  </si>
  <si>
    <r>
      <rPr>
        <b/>
        <sz val="11"/>
        <color theme="1"/>
        <rFont val="Calibri"/>
        <family val="2"/>
        <scheme val="minor"/>
      </rPr>
      <t>Model Implementation and Innovation</t>
    </r>
    <r>
      <rPr>
        <sz val="11"/>
        <color theme="1"/>
        <rFont val="Calibri"/>
        <family val="2"/>
        <scheme val="minor"/>
      </rPr>
      <t xml:space="preserve">
 - Implementation of multiple generative models,  in case multiple models were proposed, in case of innovative work check the contributions o the work. Have justification of selection or implementation of innovation.</t>
    </r>
  </si>
  <si>
    <r>
      <rPr>
        <b/>
        <sz val="11"/>
        <color theme="1"/>
        <rFont val="Calibri"/>
        <family val="2"/>
        <scheme val="minor"/>
      </rPr>
      <t>Model Evaluation and Comparative Analysis</t>
    </r>
    <r>
      <rPr>
        <sz val="11"/>
        <color theme="1"/>
        <rFont val="Calibri"/>
        <family val="2"/>
        <scheme val="minor"/>
      </rPr>
      <t xml:space="preserve">
All models must be validated and proper validation approach is followed to see how those models work.</t>
    </r>
  </si>
  <si>
    <r>
      <rPr>
        <b/>
        <sz val="11"/>
        <color theme="1"/>
        <rFont val="Calibri"/>
        <family val="2"/>
        <scheme val="minor"/>
      </rPr>
      <t xml:space="preserve">Modern Industry Standard Approach Followed: </t>
    </r>
    <r>
      <rPr>
        <sz val="11"/>
        <color theme="1"/>
        <rFont val="Calibri"/>
        <family val="2"/>
        <scheme val="minor"/>
      </rPr>
      <t xml:space="preserve">
   - Make sure the latest tools and technologies have been selected that are adopted by the industry such as github, docker containers, DevOps, MLOps, LangChain, LamaIndex, Chroma, Vectore Stores etc</t>
    </r>
  </si>
  <si>
    <t>Total Project Marks (Code (50) + Paper(50)</t>
  </si>
  <si>
    <t>Instructor: Dr. Akhtar Jamil    Course: Generative AI, SPRING 2026
Final Project Evaluation,  Self Evaluation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</si>
</sst>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rgb="FF002060"/>
        <bgColor indexed="64"/>
      </patternFill>
    </fill>
    <fill>
      <patternFill patternType="solid">
        <fgColor theme="7"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top style="thin">
        <color indexed="64"/>
      </top>
      <bottom/>
      <diagonal/>
    </border>
  </borders>
  <cellStyleXfs count="1">
    <xf numFmtId="0" fontId="0" fillId="0" borderId="0"/>
  </cellStyleXfs>
  <cellXfs count="60">
    <xf numFmtId="0" fontId="0" fillId="0" borderId="0" xfId="0"/>
    <xf numFmtId="0" fontId="0" fillId="0" borderId="0" xfId="0" applyAlignment="1">
      <alignment wrapText="1"/>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1" fillId="0" borderId="11" xfId="0" applyFont="1" applyBorder="1" applyAlignment="1">
      <alignment horizontal="center" vertical="center"/>
    </xf>
    <xf numFmtId="0" fontId="2" fillId="0" borderId="8" xfId="0" applyFont="1" applyBorder="1" applyAlignment="1">
      <alignment horizontal="left" wrapText="1"/>
    </xf>
    <xf numFmtId="0" fontId="2" fillId="0" borderId="8" xfId="0" applyFont="1" applyBorder="1" applyAlignment="1">
      <alignment horizontal="center"/>
    </xf>
    <xf numFmtId="0" fontId="2" fillId="0" borderId="9" xfId="0" applyFont="1" applyBorder="1" applyAlignment="1">
      <alignment horizontal="center"/>
    </xf>
    <xf numFmtId="0" fontId="0" fillId="0" borderId="1" xfId="0" applyBorder="1" applyAlignment="1">
      <alignment horizontal="left" vertical="center" wrapText="1"/>
    </xf>
    <xf numFmtId="0" fontId="1" fillId="0" borderId="1" xfId="0" applyFont="1" applyBorder="1" applyAlignment="1">
      <alignment horizontal="left" vertical="center"/>
    </xf>
    <xf numFmtId="0" fontId="0" fillId="0" borderId="0" xfId="0" applyAlignment="1">
      <alignment horizontal="center"/>
    </xf>
    <xf numFmtId="0" fontId="1" fillId="0" borderId="5" xfId="0" applyFont="1" applyBorder="1"/>
    <xf numFmtId="0" fontId="1" fillId="0" borderId="8" xfId="0" applyFont="1" applyBorder="1" applyAlignment="1">
      <alignment horizontal="center" vertical="center"/>
    </xf>
    <xf numFmtId="0" fontId="0" fillId="0" borderId="8" xfId="0" applyBorder="1" applyAlignment="1">
      <alignment vertical="center" wrapText="1"/>
    </xf>
    <xf numFmtId="0" fontId="0" fillId="0" borderId="1" xfId="0" applyBorder="1" applyAlignment="1">
      <alignment vertical="center"/>
    </xf>
    <xf numFmtId="0" fontId="1" fillId="0" borderId="1" xfId="0" applyFont="1" applyBorder="1" applyAlignment="1">
      <alignment horizontal="center" vertical="center" wrapText="1"/>
    </xf>
    <xf numFmtId="0" fontId="1" fillId="3" borderId="20" xfId="0" applyFont="1" applyFill="1" applyBorder="1" applyAlignment="1">
      <alignment vertical="center"/>
    </xf>
    <xf numFmtId="0" fontId="1" fillId="3" borderId="21" xfId="0" applyFont="1" applyFill="1" applyBorder="1" applyAlignment="1">
      <alignment vertical="center" wrapText="1"/>
    </xf>
    <xf numFmtId="0" fontId="0" fillId="0" borderId="1" xfId="0" applyBorder="1" applyAlignment="1">
      <alignment vertical="center" wrapText="1"/>
    </xf>
    <xf numFmtId="0" fontId="1" fillId="0" borderId="3" xfId="0" applyFont="1" applyBorder="1" applyAlignment="1">
      <alignment horizontal="left" vertical="center"/>
    </xf>
    <xf numFmtId="0" fontId="1" fillId="0" borderId="8" xfId="0" applyFont="1" applyBorder="1" applyAlignment="1">
      <alignment horizontal="left" vertical="center"/>
    </xf>
    <xf numFmtId="0" fontId="1" fillId="3" borderId="21" xfId="0" applyFont="1" applyFill="1" applyBorder="1" applyAlignment="1">
      <alignment horizontal="center" vertical="center"/>
    </xf>
    <xf numFmtId="0" fontId="0" fillId="0" borderId="14" xfId="0" applyBorder="1"/>
    <xf numFmtId="0" fontId="1" fillId="0" borderId="10" xfId="0" applyFont="1" applyBorder="1" applyAlignment="1">
      <alignment wrapText="1"/>
    </xf>
    <xf numFmtId="0" fontId="0" fillId="0" borderId="10" xfId="0" applyBorder="1" applyAlignment="1">
      <alignment horizontal="center"/>
    </xf>
    <xf numFmtId="0" fontId="0" fillId="0" borderId="10" xfId="0" applyBorder="1"/>
    <xf numFmtId="0" fontId="0" fillId="0" borderId="7" xfId="0" applyBorder="1"/>
    <xf numFmtId="0" fontId="1" fillId="3" borderId="22" xfId="0" applyFont="1" applyFill="1" applyBorder="1" applyAlignment="1">
      <alignment horizontal="center" vertical="center"/>
    </xf>
    <xf numFmtId="0" fontId="1" fillId="0" borderId="1" xfId="0" applyFont="1" applyBorder="1" applyAlignment="1">
      <alignment vertical="center" wrapText="1"/>
    </xf>
    <xf numFmtId="0" fontId="3" fillId="4" borderId="23" xfId="0" applyFont="1" applyFill="1" applyBorder="1" applyAlignment="1">
      <alignment vertical="center"/>
    </xf>
    <xf numFmtId="0" fontId="3" fillId="4" borderId="24" xfId="0" applyFont="1" applyFill="1" applyBorder="1" applyAlignment="1">
      <alignment vertical="center" wrapText="1"/>
    </xf>
    <xf numFmtId="0" fontId="3" fillId="4" borderId="24" xfId="0" applyFont="1" applyFill="1" applyBorder="1" applyAlignment="1">
      <alignment horizontal="center"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1" fillId="0" borderId="5" xfId="0" applyFont="1" applyBorder="1" applyAlignment="1">
      <alignment horizontal="left" vertical="center"/>
    </xf>
    <xf numFmtId="0" fontId="1" fillId="0" borderId="9" xfId="0" applyFont="1" applyBorder="1" applyAlignment="1">
      <alignment horizontal="center" vertical="center"/>
    </xf>
    <xf numFmtId="0" fontId="1" fillId="0" borderId="28" xfId="0" applyFont="1" applyBorder="1" applyAlignment="1">
      <alignment wrapText="1"/>
    </xf>
    <xf numFmtId="0" fontId="1" fillId="0" borderId="28" xfId="0" applyFont="1" applyBorder="1" applyAlignment="1">
      <alignment horizontal="center"/>
    </xf>
    <xf numFmtId="0" fontId="1" fillId="5" borderId="26" xfId="0" applyFont="1" applyFill="1" applyBorder="1" applyAlignment="1">
      <alignment vertical="center"/>
    </xf>
    <xf numFmtId="0" fontId="1" fillId="5" borderId="27" xfId="0" applyFont="1" applyFill="1" applyBorder="1" applyAlignment="1">
      <alignment vertical="center" wrapText="1"/>
    </xf>
    <xf numFmtId="0" fontId="1" fillId="5" borderId="27" xfId="0" applyFont="1" applyFill="1" applyBorder="1" applyAlignment="1">
      <alignment horizontal="center" vertical="center"/>
    </xf>
    <xf numFmtId="0" fontId="1" fillId="3" borderId="20" xfId="0" applyFont="1" applyFill="1" applyBorder="1"/>
    <xf numFmtId="0" fontId="2" fillId="3" borderId="21" xfId="0" applyFont="1" applyFill="1" applyBorder="1" applyAlignment="1">
      <alignment horizontal="center" wrapText="1"/>
    </xf>
    <xf numFmtId="0" fontId="2" fillId="2" borderId="6"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0" fillId="0" borderId="15" xfId="0" applyBorder="1" applyAlignment="1">
      <alignment horizontal="center"/>
    </xf>
    <xf numFmtId="0" fontId="0" fillId="0" borderId="0" xfId="0"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2" fillId="3" borderId="17"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2" fillId="3" borderId="23" xfId="0" applyFont="1" applyFill="1" applyBorder="1" applyAlignment="1">
      <alignment horizontal="center" wrapText="1"/>
    </xf>
    <xf numFmtId="0" fontId="2" fillId="3" borderId="24" xfId="0" applyFont="1" applyFill="1" applyBorder="1" applyAlignment="1">
      <alignment horizontal="center" wrapText="1"/>
    </xf>
    <xf numFmtId="0" fontId="2" fillId="3" borderId="25"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82"/>
  <sheetViews>
    <sheetView tabSelected="1" topLeftCell="A16" zoomScale="130" zoomScaleNormal="130" workbookViewId="0">
      <selection activeCell="C20" sqref="C20"/>
    </sheetView>
  </sheetViews>
  <sheetFormatPr baseColWidth="10" defaultColWidth="8.83203125" defaultRowHeight="15" x14ac:dyDescent="0.2"/>
  <cols>
    <col min="1" max="1" width="4.83203125" bestFit="1" customWidth="1"/>
    <col min="2" max="2" width="96.33203125" style="1" customWidth="1"/>
    <col min="3" max="3" width="8" style="11" customWidth="1"/>
    <col min="4" max="4" width="14.83203125" bestFit="1" customWidth="1"/>
    <col min="5" max="5" width="10.83203125" customWidth="1"/>
  </cols>
  <sheetData>
    <row r="1" spans="1:6" ht="33" customHeight="1" thickBot="1" x14ac:dyDescent="0.25">
      <c r="A1" s="45" t="s">
        <v>29</v>
      </c>
      <c r="B1" s="46"/>
      <c r="C1" s="46"/>
      <c r="D1" s="46"/>
      <c r="E1" s="47"/>
    </row>
    <row r="2" spans="1:6" ht="17" x14ac:dyDescent="0.2">
      <c r="A2" s="12" t="s">
        <v>4</v>
      </c>
      <c r="B2" s="6" t="s">
        <v>0</v>
      </c>
      <c r="C2" s="7" t="s">
        <v>1</v>
      </c>
      <c r="D2" s="7" t="s">
        <v>2</v>
      </c>
      <c r="E2" s="8" t="s">
        <v>3</v>
      </c>
    </row>
    <row r="3" spans="1:6" ht="17" thickBot="1" x14ac:dyDescent="0.25">
      <c r="A3" s="54" t="str">
        <f>CONCATENATE("Code Evaluation (", C12,")")</f>
        <v>Code Evaluation (95)</v>
      </c>
      <c r="B3" s="55"/>
      <c r="C3" s="55"/>
      <c r="D3" s="55"/>
      <c r="E3" s="56"/>
      <c r="F3" s="33"/>
    </row>
    <row r="4" spans="1:6" ht="45.5" customHeight="1" x14ac:dyDescent="0.2">
      <c r="A4" s="36">
        <v>1</v>
      </c>
      <c r="B4" s="14" t="s">
        <v>13</v>
      </c>
      <c r="C4" s="13">
        <v>5</v>
      </c>
      <c r="D4" s="13"/>
      <c r="E4" s="37"/>
      <c r="F4" s="34"/>
    </row>
    <row r="5" spans="1:6" ht="48" x14ac:dyDescent="0.2">
      <c r="A5" s="20">
        <v>2</v>
      </c>
      <c r="B5" s="19" t="s">
        <v>25</v>
      </c>
      <c r="C5" s="2">
        <v>15</v>
      </c>
      <c r="D5" s="2"/>
      <c r="E5" s="3"/>
      <c r="F5" s="33"/>
    </row>
    <row r="6" spans="1:6" ht="32" x14ac:dyDescent="0.2">
      <c r="A6" s="36">
        <v>3</v>
      </c>
      <c r="B6" s="19" t="s">
        <v>26</v>
      </c>
      <c r="C6" s="2">
        <v>15</v>
      </c>
      <c r="D6" s="2"/>
      <c r="E6" s="3"/>
      <c r="F6" s="33"/>
    </row>
    <row r="7" spans="1:6" ht="64" x14ac:dyDescent="0.2">
      <c r="A7" s="20">
        <v>4</v>
      </c>
      <c r="B7" s="19" t="s">
        <v>14</v>
      </c>
      <c r="C7" s="2">
        <v>10</v>
      </c>
      <c r="D7" s="2"/>
      <c r="E7" s="3"/>
      <c r="F7" s="35"/>
    </row>
    <row r="8" spans="1:6" ht="64" x14ac:dyDescent="0.2">
      <c r="A8" s="36">
        <v>5</v>
      </c>
      <c r="B8" s="9" t="s">
        <v>15</v>
      </c>
      <c r="C8" s="2">
        <v>10</v>
      </c>
      <c r="D8" s="2"/>
      <c r="E8" s="3"/>
      <c r="F8" s="35"/>
    </row>
    <row r="9" spans="1:6" ht="39" customHeight="1" x14ac:dyDescent="0.2">
      <c r="A9" s="20">
        <v>6</v>
      </c>
      <c r="B9" s="19" t="s">
        <v>8</v>
      </c>
      <c r="C9" s="2">
        <v>10</v>
      </c>
      <c r="D9" s="2"/>
      <c r="E9" s="3"/>
      <c r="F9" s="35"/>
    </row>
    <row r="10" spans="1:6" ht="48" x14ac:dyDescent="0.2">
      <c r="A10" s="36">
        <v>7</v>
      </c>
      <c r="B10" s="19" t="s">
        <v>27</v>
      </c>
      <c r="C10" s="2">
        <v>10</v>
      </c>
      <c r="D10" s="2"/>
      <c r="E10" s="3"/>
      <c r="F10" s="35"/>
    </row>
    <row r="11" spans="1:6" ht="33" thickBot="1" x14ac:dyDescent="0.25">
      <c r="A11" s="20">
        <v>8</v>
      </c>
      <c r="B11" s="38" t="s">
        <v>16</v>
      </c>
      <c r="C11" s="39">
        <v>20</v>
      </c>
      <c r="D11" s="4"/>
      <c r="E11" s="5"/>
      <c r="F11" s="33"/>
    </row>
    <row r="12" spans="1:6" ht="17" x14ac:dyDescent="0.2">
      <c r="A12" s="43"/>
      <c r="B12" s="44" t="s">
        <v>5</v>
      </c>
      <c r="C12" s="22">
        <f>SUM(C4:C11)</f>
        <v>95</v>
      </c>
      <c r="D12" s="22">
        <f>SUM(D4:D11)</f>
        <v>0</v>
      </c>
      <c r="E12" s="28">
        <f>SUM(E4:E11)</f>
        <v>0</v>
      </c>
      <c r="F12" s="35"/>
    </row>
    <row r="13" spans="1:6" ht="17" thickBot="1" x14ac:dyDescent="0.25">
      <c r="A13" s="57" t="str">
        <f>CONCATENATE("Research Paper Evaluation (", C25,")")</f>
        <v>Research Paper Evaluation (105)</v>
      </c>
      <c r="B13" s="58"/>
      <c r="C13" s="58"/>
      <c r="D13" s="58"/>
      <c r="E13" s="59"/>
      <c r="F13" s="35"/>
    </row>
    <row r="14" spans="1:6" ht="48" x14ac:dyDescent="0.2">
      <c r="A14" s="21">
        <v>9</v>
      </c>
      <c r="B14" s="14" t="s">
        <v>11</v>
      </c>
      <c r="C14" s="13">
        <v>20</v>
      </c>
      <c r="D14" s="13"/>
      <c r="E14" s="13"/>
      <c r="F14" s="35"/>
    </row>
    <row r="15" spans="1:6" ht="48" x14ac:dyDescent="0.2">
      <c r="A15" s="10">
        <v>10</v>
      </c>
      <c r="B15" s="29" t="s">
        <v>17</v>
      </c>
      <c r="C15" s="2">
        <v>15</v>
      </c>
      <c r="D15" s="2"/>
      <c r="E15" s="2"/>
      <c r="F15" s="35"/>
    </row>
    <row r="16" spans="1:6" ht="48" x14ac:dyDescent="0.2">
      <c r="A16" s="21">
        <v>11</v>
      </c>
      <c r="B16" s="19" t="s">
        <v>9</v>
      </c>
      <c r="C16" s="2">
        <v>10</v>
      </c>
      <c r="D16" s="2"/>
      <c r="E16" s="2"/>
      <c r="F16" s="35"/>
    </row>
    <row r="17" spans="1:6" ht="48" x14ac:dyDescent="0.2">
      <c r="A17" s="10">
        <v>12</v>
      </c>
      <c r="B17" s="29" t="s">
        <v>12</v>
      </c>
      <c r="C17" s="2">
        <v>10</v>
      </c>
      <c r="D17" s="2"/>
      <c r="E17" s="2"/>
      <c r="F17" s="35"/>
    </row>
    <row r="18" spans="1:6" ht="48" x14ac:dyDescent="0.2">
      <c r="A18" s="21">
        <v>13</v>
      </c>
      <c r="B18" s="29" t="s">
        <v>18</v>
      </c>
      <c r="C18" s="16">
        <v>10</v>
      </c>
      <c r="D18" s="16"/>
      <c r="E18" s="16"/>
      <c r="F18" s="34"/>
    </row>
    <row r="19" spans="1:6" ht="80" x14ac:dyDescent="0.2">
      <c r="A19" s="10">
        <v>14</v>
      </c>
      <c r="B19" s="29" t="s">
        <v>19</v>
      </c>
      <c r="C19" s="2"/>
      <c r="D19" s="15"/>
      <c r="E19" s="15"/>
      <c r="F19" s="33"/>
    </row>
    <row r="20" spans="1:6" ht="20" customHeight="1" x14ac:dyDescent="0.2">
      <c r="A20" s="21">
        <v>15</v>
      </c>
      <c r="B20" s="19" t="s">
        <v>10</v>
      </c>
      <c r="C20" s="2">
        <v>5</v>
      </c>
      <c r="D20" s="15"/>
      <c r="E20" s="15"/>
      <c r="F20" s="35"/>
    </row>
    <row r="21" spans="1:6" ht="32" x14ac:dyDescent="0.2">
      <c r="A21" s="10">
        <v>16</v>
      </c>
      <c r="B21" s="29" t="s">
        <v>22</v>
      </c>
      <c r="C21" s="2">
        <v>10</v>
      </c>
      <c r="D21" s="15"/>
      <c r="E21" s="15"/>
      <c r="F21" s="33"/>
    </row>
    <row r="22" spans="1:6" ht="20" customHeight="1" x14ac:dyDescent="0.2">
      <c r="A22" s="21">
        <v>17</v>
      </c>
      <c r="B22" s="29" t="s">
        <v>20</v>
      </c>
      <c r="C22" s="2">
        <v>10</v>
      </c>
      <c r="D22" s="15"/>
      <c r="E22" s="15"/>
      <c r="F22" s="34"/>
    </row>
    <row r="23" spans="1:6" ht="32" x14ac:dyDescent="0.2">
      <c r="A23" s="10">
        <v>18</v>
      </c>
      <c r="B23" s="19" t="s">
        <v>21</v>
      </c>
      <c r="C23" s="2">
        <v>5</v>
      </c>
      <c r="D23" s="15"/>
      <c r="E23" s="15"/>
      <c r="F23" s="34"/>
    </row>
    <row r="24" spans="1:6" ht="33" thickBot="1" x14ac:dyDescent="0.25">
      <c r="A24" s="21">
        <v>19</v>
      </c>
      <c r="B24" s="1" t="s">
        <v>23</v>
      </c>
      <c r="C24" s="2">
        <v>10</v>
      </c>
      <c r="D24" s="15"/>
      <c r="E24" s="15"/>
      <c r="F24" s="33"/>
    </row>
    <row r="25" spans="1:6" ht="20" customHeight="1" x14ac:dyDescent="0.2">
      <c r="A25" s="17"/>
      <c r="B25" s="18" t="s">
        <v>6</v>
      </c>
      <c r="C25" s="22">
        <f>SUM(C14:C24)</f>
        <v>105</v>
      </c>
      <c r="D25" s="22">
        <f>SUM(D14:D24)</f>
        <v>0</v>
      </c>
      <c r="E25" s="28">
        <f>SUM(E14:E24)</f>
        <v>0</v>
      </c>
      <c r="F25" s="35"/>
    </row>
    <row r="26" spans="1:6" ht="20" customHeight="1" x14ac:dyDescent="0.2">
      <c r="A26" s="40"/>
      <c r="B26" s="41" t="s">
        <v>24</v>
      </c>
      <c r="C26" s="42">
        <f>C25+C12</f>
        <v>200</v>
      </c>
      <c r="D26" s="42">
        <f t="shared" ref="D26:E26" si="0">D25+D12</f>
        <v>0</v>
      </c>
      <c r="E26" s="42">
        <f t="shared" si="0"/>
        <v>0</v>
      </c>
      <c r="F26" s="35"/>
    </row>
    <row r="27" spans="1:6" ht="20" customHeight="1" thickBot="1" x14ac:dyDescent="0.25">
      <c r="A27" s="30"/>
      <c r="B27" s="31" t="s">
        <v>28</v>
      </c>
      <c r="C27" s="32"/>
      <c r="D27" s="32">
        <f>(D12/C12*0.5)+(D25/C25*0.5)</f>
        <v>0</v>
      </c>
      <c r="E27" s="32">
        <f>(E12/C12*0.5)+(E25/C25*0.5)</f>
        <v>0</v>
      </c>
      <c r="F27" s="35"/>
    </row>
    <row r="28" spans="1:6" ht="17" thickBot="1" x14ac:dyDescent="0.25">
      <c r="A28" s="23"/>
      <c r="B28" s="24" t="s">
        <v>7</v>
      </c>
      <c r="C28" s="25"/>
      <c r="D28" s="26"/>
      <c r="E28" s="27"/>
      <c r="F28" s="35"/>
    </row>
    <row r="29" spans="1:6" x14ac:dyDescent="0.2">
      <c r="A29" s="48"/>
      <c r="B29" s="49"/>
      <c r="C29" s="49"/>
      <c r="D29" s="49"/>
      <c r="E29" s="50"/>
      <c r="F29" s="35"/>
    </row>
    <row r="30" spans="1:6" x14ac:dyDescent="0.2">
      <c r="A30" s="48"/>
      <c r="B30" s="49"/>
      <c r="C30" s="49"/>
      <c r="D30" s="49"/>
      <c r="E30" s="50"/>
      <c r="F30" s="35"/>
    </row>
    <row r="31" spans="1:6" x14ac:dyDescent="0.2">
      <c r="A31" s="48"/>
      <c r="B31" s="49"/>
      <c r="C31" s="49"/>
      <c r="D31" s="49"/>
      <c r="E31" s="50"/>
      <c r="F31" s="33"/>
    </row>
    <row r="32" spans="1:6" ht="16" thickBot="1" x14ac:dyDescent="0.25">
      <c r="A32" s="51"/>
      <c r="B32" s="52"/>
      <c r="C32" s="52"/>
      <c r="D32" s="52"/>
      <c r="E32" s="53"/>
      <c r="F32" s="34"/>
    </row>
    <row r="33" spans="6:6" x14ac:dyDescent="0.2">
      <c r="F33" s="33"/>
    </row>
    <row r="34" spans="6:6" x14ac:dyDescent="0.2">
      <c r="F34" s="33"/>
    </row>
    <row r="35" spans="6:6" x14ac:dyDescent="0.2">
      <c r="F35" s="35"/>
    </row>
    <row r="36" spans="6:6" x14ac:dyDescent="0.2">
      <c r="F36" s="35"/>
    </row>
    <row r="37" spans="6:6" x14ac:dyDescent="0.2">
      <c r="F37" s="35"/>
    </row>
    <row r="38" spans="6:6" x14ac:dyDescent="0.2">
      <c r="F38" s="35"/>
    </row>
    <row r="39" spans="6:6" x14ac:dyDescent="0.2">
      <c r="F39" s="35"/>
    </row>
    <row r="40" spans="6:6" x14ac:dyDescent="0.2">
      <c r="F40" s="35"/>
    </row>
    <row r="41" spans="6:6" x14ac:dyDescent="0.2">
      <c r="F41" s="33"/>
    </row>
    <row r="42" spans="6:6" x14ac:dyDescent="0.2">
      <c r="F42" s="34"/>
    </row>
    <row r="43" spans="6:6" x14ac:dyDescent="0.2">
      <c r="F43" s="33"/>
    </row>
    <row r="44" spans="6:6" x14ac:dyDescent="0.2">
      <c r="F44" s="33"/>
    </row>
    <row r="45" spans="6:6" x14ac:dyDescent="0.2">
      <c r="F45" s="35"/>
    </row>
    <row r="46" spans="6:6" x14ac:dyDescent="0.2">
      <c r="F46" s="35"/>
    </row>
    <row r="47" spans="6:6" x14ac:dyDescent="0.2">
      <c r="F47" s="35"/>
    </row>
    <row r="48" spans="6:6" x14ac:dyDescent="0.2">
      <c r="F48" s="35"/>
    </row>
    <row r="49" spans="6:6" x14ac:dyDescent="0.2">
      <c r="F49" s="35"/>
    </row>
    <row r="50" spans="6:6" x14ac:dyDescent="0.2">
      <c r="F50" s="35"/>
    </row>
    <row r="51" spans="6:6" x14ac:dyDescent="0.2">
      <c r="F51" s="33"/>
    </row>
    <row r="52" spans="6:6" x14ac:dyDescent="0.2">
      <c r="F52" s="34"/>
    </row>
    <row r="53" spans="6:6" x14ac:dyDescent="0.2">
      <c r="F53" s="33"/>
    </row>
    <row r="54" spans="6:6" x14ac:dyDescent="0.2">
      <c r="F54" s="33"/>
    </row>
    <row r="55" spans="6:6" x14ac:dyDescent="0.2">
      <c r="F55" s="35"/>
    </row>
    <row r="56" spans="6:6" x14ac:dyDescent="0.2">
      <c r="F56" s="35"/>
    </row>
    <row r="57" spans="6:6" x14ac:dyDescent="0.2">
      <c r="F57" s="35"/>
    </row>
    <row r="58" spans="6:6" x14ac:dyDescent="0.2">
      <c r="F58" s="35"/>
    </row>
    <row r="59" spans="6:6" x14ac:dyDescent="0.2">
      <c r="F59" s="35"/>
    </row>
    <row r="60" spans="6:6" x14ac:dyDescent="0.2">
      <c r="F60" s="35"/>
    </row>
    <row r="61" spans="6:6" x14ac:dyDescent="0.2">
      <c r="F61" s="33"/>
    </row>
    <row r="62" spans="6:6" x14ac:dyDescent="0.2">
      <c r="F62" s="34"/>
    </row>
    <row r="63" spans="6:6" x14ac:dyDescent="0.2">
      <c r="F63" s="33"/>
    </row>
    <row r="64" spans="6:6" x14ac:dyDescent="0.2">
      <c r="F64" s="33"/>
    </row>
    <row r="65" spans="6:6" x14ac:dyDescent="0.2">
      <c r="F65" s="35"/>
    </row>
    <row r="66" spans="6:6" x14ac:dyDescent="0.2">
      <c r="F66" s="35"/>
    </row>
    <row r="67" spans="6:6" x14ac:dyDescent="0.2">
      <c r="F67" s="35"/>
    </row>
    <row r="68" spans="6:6" x14ac:dyDescent="0.2">
      <c r="F68" s="35"/>
    </row>
    <row r="69" spans="6:6" x14ac:dyDescent="0.2">
      <c r="F69" s="35"/>
    </row>
    <row r="70" spans="6:6" x14ac:dyDescent="0.2">
      <c r="F70" s="35"/>
    </row>
    <row r="71" spans="6:6" x14ac:dyDescent="0.2">
      <c r="F71" s="35"/>
    </row>
    <row r="72" spans="6:6" x14ac:dyDescent="0.2">
      <c r="F72" s="35"/>
    </row>
    <row r="73" spans="6:6" x14ac:dyDescent="0.2">
      <c r="F73" s="33"/>
    </row>
    <row r="74" spans="6:6" x14ac:dyDescent="0.2">
      <c r="F74" s="34"/>
    </row>
    <row r="75" spans="6:6" x14ac:dyDescent="0.2">
      <c r="F75" s="33"/>
    </row>
    <row r="76" spans="6:6" x14ac:dyDescent="0.2">
      <c r="F76" s="33"/>
    </row>
    <row r="77" spans="6:6" x14ac:dyDescent="0.2">
      <c r="F77" s="35"/>
    </row>
    <row r="78" spans="6:6" x14ac:dyDescent="0.2">
      <c r="F78" s="35"/>
    </row>
    <row r="79" spans="6:6" x14ac:dyDescent="0.2">
      <c r="F79" s="35"/>
    </row>
    <row r="80" spans="6:6" x14ac:dyDescent="0.2">
      <c r="F80" s="35"/>
    </row>
    <row r="81" spans="6:6" x14ac:dyDescent="0.2">
      <c r="F81" s="35"/>
    </row>
    <row r="82" spans="6:6" x14ac:dyDescent="0.2">
      <c r="F82" s="35"/>
    </row>
  </sheetData>
  <mergeCells count="4">
    <mergeCell ref="A1:E1"/>
    <mergeCell ref="A29:E32"/>
    <mergeCell ref="A3:E3"/>
    <mergeCell ref="A13:E13"/>
  </mergeCells>
  <pageMargins left="0.7" right="0.7" top="0.75" bottom="0.75" header="0.3" footer="0.3"/>
  <pageSetup scale="67" fitToHeight="0"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Gen 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akhtar jamil</dc:creator>
  <cp:lastModifiedBy>akhtar jamil</cp:lastModifiedBy>
  <cp:lastPrinted>2023-10-17T10:57:04Z</cp:lastPrinted>
  <dcterms:created xsi:type="dcterms:W3CDTF">2015-06-05T18:17:20Z</dcterms:created>
  <dcterms:modified xsi:type="dcterms:W3CDTF">2026-05-01T05:12:39Z</dcterms:modified>
</cp:coreProperties>
</file>